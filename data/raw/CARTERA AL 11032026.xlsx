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RESPALDO LUIS OROZCO\Desktop\CESyM123  2024\Clientes\Waldos\ARCHIVOS 2026\"/>
    </mc:Choice>
  </mc:AlternateContent>
  <xr:revisionPtr revIDLastSave="0" documentId="13_ncr:1_{F9EF7B35-EDB0-401E-90C5-611825CEAA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C FACTURADO" sheetId="1" r:id="rId1"/>
    <sheet name="PTE OC 25-26" sheetId="2" r:id="rId2"/>
    <sheet name="Hoja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2" l="1"/>
  <c r="F24" i="2"/>
  <c r="F42" i="2"/>
  <c r="G121" i="1"/>
  <c r="G89" i="1"/>
  <c r="H122" i="1" l="1"/>
  <c r="F68" i="2"/>
  <c r="H123" i="1"/>
  <c r="H124" i="1" l="1"/>
</calcChain>
</file>

<file path=xl/sharedStrings.xml><?xml version="1.0" encoding="utf-8"?>
<sst xmlns="http://schemas.openxmlformats.org/spreadsheetml/2006/main" count="214" uniqueCount="152">
  <si>
    <t>CURTRXAM</t>
  </si>
  <si>
    <t>ORCTRXAM1</t>
  </si>
  <si>
    <t>FECHA_CALCULO</t>
  </si>
  <si>
    <t>FACTURA</t>
  </si>
  <si>
    <t>O01-513221</t>
  </si>
  <si>
    <t>O01-520591</t>
  </si>
  <si>
    <t>O01-521132</t>
  </si>
  <si>
    <t>PRIORIDAD</t>
  </si>
  <si>
    <t>O01-521108</t>
  </si>
  <si>
    <t>O01-520885</t>
  </si>
  <si>
    <t>O01-520579</t>
  </si>
  <si>
    <t>O01-520786</t>
  </si>
  <si>
    <t>O01-521219</t>
  </si>
  <si>
    <t>O01-520602</t>
  </si>
  <si>
    <t>O01-520586</t>
  </si>
  <si>
    <t>O01-521207</t>
  </si>
  <si>
    <t>O01-520999</t>
  </si>
  <si>
    <t>O01-520468</t>
  </si>
  <si>
    <t>O01-520985</t>
  </si>
  <si>
    <t>O01-521109</t>
  </si>
  <si>
    <t>O01-520462</t>
  </si>
  <si>
    <t>O01-521000</t>
  </si>
  <si>
    <t>O01-520892</t>
  </si>
  <si>
    <t>O01-520986</t>
  </si>
  <si>
    <t>O01-520983</t>
  </si>
  <si>
    <t>O01-525415</t>
  </si>
  <si>
    <t>O01-525447</t>
  </si>
  <si>
    <t>O01-507749</t>
  </si>
  <si>
    <t>O01-521094</t>
  </si>
  <si>
    <t>O01-532539</t>
  </si>
  <si>
    <t>O01-533084</t>
  </si>
  <si>
    <t>O01-533106</t>
  </si>
  <si>
    <t>O01-533220</t>
  </si>
  <si>
    <t>O01-532605</t>
  </si>
  <si>
    <t>O01-532674</t>
  </si>
  <si>
    <t>O01-532930</t>
  </si>
  <si>
    <t>O01-532546</t>
  </si>
  <si>
    <t>O01-532389</t>
  </si>
  <si>
    <t>O01-532878</t>
  </si>
  <si>
    <t>O01-533100</t>
  </si>
  <si>
    <t>O01-533114</t>
  </si>
  <si>
    <t>O01-533098</t>
  </si>
  <si>
    <t>O01-532929</t>
  </si>
  <si>
    <t>O01-533162</t>
  </si>
  <si>
    <t>O01-532376</t>
  </si>
  <si>
    <t>O01-532555</t>
  </si>
  <si>
    <t>O01-532443</t>
  </si>
  <si>
    <t>O01-532436</t>
  </si>
  <si>
    <t>O01-532825</t>
  </si>
  <si>
    <t>O01-532431</t>
  </si>
  <si>
    <t>O01-533217</t>
  </si>
  <si>
    <t>O01-532892</t>
  </si>
  <si>
    <t>O01-533158</t>
  </si>
  <si>
    <t>O01-532818</t>
  </si>
  <si>
    <t>O01-532259</t>
  </si>
  <si>
    <t>O01-533031</t>
  </si>
  <si>
    <t>O01-533167</t>
  </si>
  <si>
    <t>O01-532986</t>
  </si>
  <si>
    <t>O01-532981</t>
  </si>
  <si>
    <t>O01-532667</t>
  </si>
  <si>
    <t>O01-533093</t>
  </si>
  <si>
    <t>O01-532680</t>
  </si>
  <si>
    <t>O01-532440</t>
  </si>
  <si>
    <t>O01-532977</t>
  </si>
  <si>
    <t>O01-532441</t>
  </si>
  <si>
    <t>O01-532890</t>
  </si>
  <si>
    <t>O01-532919</t>
  </si>
  <si>
    <t>O01-532886</t>
  </si>
  <si>
    <t>O01-532594</t>
  </si>
  <si>
    <t>O01-533210</t>
  </si>
  <si>
    <t>O01-532442</t>
  </si>
  <si>
    <t>O01-532988</t>
  </si>
  <si>
    <t>O01-537214</t>
  </si>
  <si>
    <t>O01-537220</t>
  </si>
  <si>
    <t>O01-537249</t>
  </si>
  <si>
    <t>O01-537264</t>
  </si>
  <si>
    <t>O01-537235</t>
  </si>
  <si>
    <t>O01-537285</t>
  </si>
  <si>
    <t>O01-537237</t>
  </si>
  <si>
    <t>O01-537266</t>
  </si>
  <si>
    <t>O01-537278</t>
  </si>
  <si>
    <t>O01-537204</t>
  </si>
  <si>
    <t>O01-537287</t>
  </si>
  <si>
    <t>O01-537217</t>
  </si>
  <si>
    <t>OC</t>
  </si>
  <si>
    <t>O01-539071</t>
  </si>
  <si>
    <t>O01-538812</t>
  </si>
  <si>
    <t>O01-538610</t>
  </si>
  <si>
    <t>O01-539331</t>
  </si>
  <si>
    <t>O01-53917</t>
  </si>
  <si>
    <t>O01-539309</t>
  </si>
  <si>
    <t>O01-539274</t>
  </si>
  <si>
    <t>O01-539270</t>
  </si>
  <si>
    <t>O01-539241</t>
  </si>
  <si>
    <t>O01-539229</t>
  </si>
  <si>
    <t>O01-539212</t>
  </si>
  <si>
    <t>O01-539206</t>
  </si>
  <si>
    <t>O01-539147</t>
  </si>
  <si>
    <t>O01-539335</t>
  </si>
  <si>
    <t>O01-539140</t>
  </si>
  <si>
    <t>O01-538929</t>
  </si>
  <si>
    <t>O01-835516</t>
  </si>
  <si>
    <t>O01-538677</t>
  </si>
  <si>
    <t>O01-539333</t>
  </si>
  <si>
    <t>O01-539313</t>
  </si>
  <si>
    <t>O01-539288</t>
  </si>
  <si>
    <t>O01-539271</t>
  </si>
  <si>
    <t>O01-539267</t>
  </si>
  <si>
    <t>O01-539232</t>
  </si>
  <si>
    <t>O01-539222</t>
  </si>
  <si>
    <t>O01-539209</t>
  </si>
  <si>
    <t>O01-539203</t>
  </si>
  <si>
    <t>O01-539145</t>
  </si>
  <si>
    <t>O01-539144</t>
  </si>
  <si>
    <t>O01-539306</t>
  </si>
  <si>
    <t>O01-539293</t>
  </si>
  <si>
    <t>ACEPTADAS</t>
  </si>
  <si>
    <t>ACEPTADA</t>
  </si>
  <si>
    <t>COTIZADO</t>
  </si>
  <si>
    <t>PREV ACEPTADO</t>
  </si>
  <si>
    <t>COT</t>
  </si>
  <si>
    <t>SUC</t>
  </si>
  <si>
    <t>IMPORTE</t>
  </si>
  <si>
    <t>PUERTAS</t>
  </si>
  <si>
    <t>DE</t>
  </si>
  <si>
    <t>EMERGENCIA</t>
  </si>
  <si>
    <t>COTIZACION PTE DE ORDEN DE COMPRA     2025</t>
  </si>
  <si>
    <t>COTIZACION PTE DE ORDEN DE COMPRA     2026</t>
  </si>
  <si>
    <t>OC FACTURADO</t>
  </si>
  <si>
    <t>TOTAL</t>
  </si>
  <si>
    <t>ILUMINACION</t>
  </si>
  <si>
    <t>DESASOLVE</t>
  </si>
  <si>
    <t>LIMPIEZA DE PLAFON</t>
  </si>
  <si>
    <t>IMPERMEABILIZACION</t>
  </si>
  <si>
    <t>REP FUGA DE AGUA</t>
  </si>
  <si>
    <t>ARMAR RACK</t>
  </si>
  <si>
    <t>PINTURA DE PUERTA</t>
  </si>
  <si>
    <t>MTTO IGUALA</t>
  </si>
  <si>
    <t xml:space="preserve">PLOMERIA </t>
  </si>
  <si>
    <t xml:space="preserve">CORTINA METALICA </t>
  </si>
  <si>
    <t>INST TAPA ELECTRICA</t>
  </si>
  <si>
    <t>RESANE DE PARED</t>
  </si>
  <si>
    <t>INST SANITARIO</t>
  </si>
  <si>
    <t>CONCEPTO</t>
  </si>
  <si>
    <t>O01-537223</t>
  </si>
  <si>
    <t>O01-527318</t>
  </si>
  <si>
    <t>O01-537251</t>
  </si>
  <si>
    <t>O01-537198</t>
  </si>
  <si>
    <t>O01-537252</t>
  </si>
  <si>
    <t>O01-537294</t>
  </si>
  <si>
    <t>ELENA</t>
  </si>
  <si>
    <t>CAJAS ELECTRICAS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</si>
</sst>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0" fontId="0" fillId="0" borderId="1" xfId="0" applyBorder="1"/>
    <xf numFmtId="164" fontId="0" fillId="0" borderId="0" xfId="0" applyNumberFormat="1"/>
    <xf numFmtId="0" fontId="0" fillId="0" borderId="1" xfId="0" applyBorder="1" applyAlignment="1">
      <alignment horizontal="center"/>
    </xf>
    <xf numFmtId="164" fontId="0" fillId="0" borderId="1" xfId="0" applyNumberFormat="1" applyBorder="1"/>
    <xf numFmtId="14" fontId="0" fillId="0" borderId="1" xfId="0" applyNumberFormat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4" fillId="3" borderId="1" xfId="0" applyFont="1" applyFill="1" applyBorder="1"/>
    <xf numFmtId="0" fontId="0" fillId="3" borderId="0" xfId="0" applyFill="1" applyAlignment="1">
      <alignment horizontal="center"/>
    </xf>
    <xf numFmtId="164" fontId="0" fillId="3" borderId="3" xfId="0" applyNumberFormat="1" applyFill="1" applyBorder="1"/>
    <xf numFmtId="0" fontId="0" fillId="3" borderId="0" xfId="0" applyFill="1"/>
    <xf numFmtId="164" fontId="0" fillId="0" borderId="3" xfId="0" applyNumberFormat="1" applyBorder="1"/>
    <xf numFmtId="44" fontId="0" fillId="0" borderId="0" xfId="1" applyFont="1"/>
    <xf numFmtId="44" fontId="0" fillId="0" borderId="0" xfId="0" applyNumberFormat="1"/>
    <xf numFmtId="0" fontId="0" fillId="4" borderId="0" xfId="0" applyFill="1"/>
    <xf numFmtId="44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44" fontId="0" fillId="0" borderId="0" xfId="1" applyFont="1" applyBorder="1"/>
    <xf numFmtId="44" fontId="0" fillId="0" borderId="0" xfId="1" applyFont="1" applyBorder="1" applyAlignment="1">
      <alignment horizontal="center"/>
    </xf>
    <xf numFmtId="0" fontId="0" fillId="4" borderId="0" xfId="0" applyFill="1" applyAlignment="1">
      <alignment horizontal="center"/>
    </xf>
    <xf numFmtId="44" fontId="0" fillId="4" borderId="0" xfId="1" applyFont="1" applyFill="1" applyBorder="1"/>
    <xf numFmtId="0" fontId="3" fillId="4" borderId="0" xfId="0" applyFont="1" applyFill="1" applyAlignment="1">
      <alignment horizontal="center"/>
    </xf>
    <xf numFmtId="44" fontId="3" fillId="4" borderId="0" xfId="0" applyNumberFormat="1" applyFont="1" applyFill="1"/>
    <xf numFmtId="44" fontId="0" fillId="0" borderId="0" xfId="1" applyFont="1" applyBorder="1" applyAlignment="1">
      <alignment horizontal="left"/>
    </xf>
    <xf numFmtId="4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1" xfId="0" applyFill="1" applyBorder="1" applyAlignment="1">
      <alignment horizontal="center"/>
    </xf>
    <xf numFmtId="164" fontId="0" fillId="0" borderId="1" xfId="0" applyNumberFormat="1" applyFill="1" applyBorder="1"/>
    <xf numFmtId="0" fontId="0" fillId="0" borderId="1" xfId="0" applyFill="1" applyBorder="1"/>
    <xf numFmtId="14" fontId="0" fillId="0" borderId="1" xfId="0" applyNumberFormat="1" applyFill="1" applyBorder="1"/>
    <xf numFmtId="44" fontId="0" fillId="3" borderId="0" xfId="1" applyFont="1" applyFill="1" applyBorder="1" applyAlignment="1">
      <alignment horizontal="center"/>
    </xf>
    <xf numFmtId="0" fontId="3" fillId="3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24"/>
  <sheetViews>
    <sheetView tabSelected="1" zoomScale="140" zoomScaleNormal="140" workbookViewId="0">
      <selection activeCell="C71" sqref="C71"/>
    </sheetView>
  </sheetViews>
  <sheetFormatPr baseColWidth="10" defaultColWidth="9.140625" defaultRowHeight="15" x14ac:dyDescent="0.25"/>
  <cols>
    <col min="1" max="1" width="12.7109375" style="1" customWidth="1"/>
    <col min="2" max="2" width="16" style="1" customWidth="1"/>
    <col min="3" max="3" width="18.85546875" customWidth="1"/>
    <col min="5" max="5" width="13.7109375" customWidth="1"/>
    <col min="6" max="6" width="12.7109375" customWidth="1"/>
    <col min="7" max="7" width="15.140625" customWidth="1"/>
    <col min="8" max="8" width="15.7109375" customWidth="1"/>
  </cols>
  <sheetData>
    <row r="3" spans="1:6" x14ac:dyDescent="0.25">
      <c r="A3" s="2" t="s">
        <v>3</v>
      </c>
      <c r="B3" s="2" t="s">
        <v>84</v>
      </c>
      <c r="C3" s="3" t="s">
        <v>0</v>
      </c>
      <c r="D3" s="3" t="s">
        <v>1</v>
      </c>
      <c r="E3" s="3" t="s">
        <v>2</v>
      </c>
    </row>
    <row r="4" spans="1:6" x14ac:dyDescent="0.25">
      <c r="A4" s="6">
        <v>7774</v>
      </c>
      <c r="B4" s="6" t="s">
        <v>27</v>
      </c>
      <c r="C4" s="7">
        <v>13078.8</v>
      </c>
      <c r="D4" s="4">
        <v>0</v>
      </c>
      <c r="E4" s="8">
        <v>46035</v>
      </c>
      <c r="F4" s="4"/>
    </row>
    <row r="5" spans="1:6" x14ac:dyDescent="0.25">
      <c r="A5" s="6">
        <v>7841</v>
      </c>
      <c r="B5" s="6" t="s">
        <v>4</v>
      </c>
      <c r="C5" s="7">
        <v>93744</v>
      </c>
      <c r="D5" s="4">
        <v>0</v>
      </c>
      <c r="E5" s="8">
        <v>46003</v>
      </c>
      <c r="F5" s="4"/>
    </row>
    <row r="6" spans="1:6" x14ac:dyDescent="0.25">
      <c r="A6" s="6">
        <v>7888</v>
      </c>
      <c r="B6" s="6" t="s">
        <v>5</v>
      </c>
      <c r="C6" s="7">
        <v>77004</v>
      </c>
      <c r="D6" s="4">
        <v>0</v>
      </c>
      <c r="E6" s="8">
        <v>46014</v>
      </c>
      <c r="F6" s="4"/>
    </row>
    <row r="7" spans="1:6" x14ac:dyDescent="0.25">
      <c r="A7" s="6">
        <v>7900</v>
      </c>
      <c r="B7" s="6" t="s">
        <v>24</v>
      </c>
      <c r="C7" s="7">
        <v>5400</v>
      </c>
      <c r="D7" s="4">
        <v>0</v>
      </c>
      <c r="E7" s="8">
        <v>46014</v>
      </c>
      <c r="F7" s="4"/>
    </row>
    <row r="8" spans="1:6" x14ac:dyDescent="0.25">
      <c r="A8" s="9">
        <v>7901</v>
      </c>
      <c r="B8" s="9" t="s">
        <v>9</v>
      </c>
      <c r="C8" s="10">
        <v>3132</v>
      </c>
      <c r="D8" s="11" t="s">
        <v>7</v>
      </c>
      <c r="E8" s="12">
        <v>46014</v>
      </c>
      <c r="F8" s="13" t="s">
        <v>119</v>
      </c>
    </row>
    <row r="9" spans="1:6" x14ac:dyDescent="0.25">
      <c r="A9" s="9">
        <v>7902</v>
      </c>
      <c r="B9" s="9" t="s">
        <v>11</v>
      </c>
      <c r="C9" s="10">
        <v>918</v>
      </c>
      <c r="D9" s="11" t="s">
        <v>7</v>
      </c>
      <c r="E9" s="12">
        <v>46014</v>
      </c>
      <c r="F9" s="13" t="s">
        <v>119</v>
      </c>
    </row>
    <row r="10" spans="1:6" x14ac:dyDescent="0.25">
      <c r="A10" s="9">
        <v>7903</v>
      </c>
      <c r="B10" s="9" t="s">
        <v>14</v>
      </c>
      <c r="C10" s="10">
        <v>648</v>
      </c>
      <c r="D10" s="11" t="s">
        <v>7</v>
      </c>
      <c r="E10" s="12">
        <v>46014</v>
      </c>
      <c r="F10" s="13" t="s">
        <v>119</v>
      </c>
    </row>
    <row r="11" spans="1:6" x14ac:dyDescent="0.25">
      <c r="A11" s="9">
        <v>7905</v>
      </c>
      <c r="B11" s="9" t="s">
        <v>18</v>
      </c>
      <c r="C11" s="10">
        <v>3996</v>
      </c>
      <c r="D11" s="11" t="s">
        <v>7</v>
      </c>
      <c r="E11" s="12">
        <v>46014</v>
      </c>
      <c r="F11" s="13" t="s">
        <v>119</v>
      </c>
    </row>
    <row r="12" spans="1:6" x14ac:dyDescent="0.25">
      <c r="A12" s="6">
        <v>7907</v>
      </c>
      <c r="B12" s="6" t="s">
        <v>8</v>
      </c>
      <c r="C12" s="7">
        <v>6804</v>
      </c>
      <c r="D12" s="4" t="s">
        <v>7</v>
      </c>
      <c r="E12" s="8">
        <v>46014</v>
      </c>
      <c r="F12" s="4"/>
    </row>
    <row r="13" spans="1:6" x14ac:dyDescent="0.25">
      <c r="A13" s="6">
        <v>7908</v>
      </c>
      <c r="B13" s="6" t="s">
        <v>13</v>
      </c>
      <c r="C13" s="7">
        <v>3942</v>
      </c>
      <c r="D13" s="4" t="s">
        <v>7</v>
      </c>
      <c r="E13" s="8">
        <v>46014</v>
      </c>
      <c r="F13" s="4"/>
    </row>
    <row r="14" spans="1:6" x14ac:dyDescent="0.25">
      <c r="A14" s="6">
        <v>7909</v>
      </c>
      <c r="B14" s="6" t="s">
        <v>20</v>
      </c>
      <c r="C14" s="7">
        <v>7992</v>
      </c>
      <c r="D14" s="4">
        <v>0</v>
      </c>
      <c r="E14" s="8">
        <v>46014</v>
      </c>
      <c r="F14" s="4"/>
    </row>
    <row r="15" spans="1:6" x14ac:dyDescent="0.25">
      <c r="A15" s="6">
        <v>7913</v>
      </c>
      <c r="B15" s="6" t="s">
        <v>21</v>
      </c>
      <c r="C15" s="7">
        <v>3132</v>
      </c>
      <c r="D15" s="4">
        <v>0</v>
      </c>
      <c r="E15" s="8">
        <v>46014</v>
      </c>
      <c r="F15" s="4"/>
    </row>
    <row r="16" spans="1:6" x14ac:dyDescent="0.25">
      <c r="A16" s="9">
        <v>7916</v>
      </c>
      <c r="B16" s="9" t="s">
        <v>17</v>
      </c>
      <c r="C16" s="10">
        <v>1020.8</v>
      </c>
      <c r="D16" s="11" t="s">
        <v>7</v>
      </c>
      <c r="E16" s="12">
        <v>46014</v>
      </c>
      <c r="F16" s="13" t="s">
        <v>119</v>
      </c>
    </row>
    <row r="17" spans="1:6" x14ac:dyDescent="0.25">
      <c r="A17" s="6">
        <v>7918</v>
      </c>
      <c r="B17" s="6" t="s">
        <v>23</v>
      </c>
      <c r="C17" s="7">
        <v>885.6</v>
      </c>
      <c r="D17" s="4">
        <v>0</v>
      </c>
      <c r="E17" s="8">
        <v>46014</v>
      </c>
      <c r="F17" s="4"/>
    </row>
    <row r="18" spans="1:6" x14ac:dyDescent="0.25">
      <c r="A18" s="9">
        <v>7919</v>
      </c>
      <c r="B18" s="9" t="s">
        <v>12</v>
      </c>
      <c r="C18" s="10">
        <v>1188</v>
      </c>
      <c r="D18" s="11" t="s">
        <v>7</v>
      </c>
      <c r="E18" s="12">
        <v>46014</v>
      </c>
      <c r="F18" s="13" t="s">
        <v>119</v>
      </c>
    </row>
    <row r="19" spans="1:6" x14ac:dyDescent="0.25">
      <c r="A19" s="6">
        <v>7921</v>
      </c>
      <c r="B19" s="6" t="s">
        <v>22</v>
      </c>
      <c r="C19" s="7">
        <v>4860</v>
      </c>
      <c r="D19" s="4">
        <v>0</v>
      </c>
      <c r="E19" s="8">
        <v>46014</v>
      </c>
      <c r="F19" s="4"/>
    </row>
    <row r="20" spans="1:6" x14ac:dyDescent="0.25">
      <c r="A20" s="9">
        <v>7923</v>
      </c>
      <c r="B20" s="9" t="s">
        <v>6</v>
      </c>
      <c r="C20" s="10">
        <v>4320</v>
      </c>
      <c r="D20" s="11" t="s">
        <v>7</v>
      </c>
      <c r="E20" s="12">
        <v>46014</v>
      </c>
      <c r="F20" s="13" t="s">
        <v>119</v>
      </c>
    </row>
    <row r="21" spans="1:6" x14ac:dyDescent="0.25">
      <c r="A21" s="9">
        <v>7930</v>
      </c>
      <c r="B21" s="9" t="s">
        <v>10</v>
      </c>
      <c r="C21" s="10">
        <v>3024</v>
      </c>
      <c r="D21" s="11" t="s">
        <v>7</v>
      </c>
      <c r="E21" s="12">
        <v>46014</v>
      </c>
      <c r="F21" s="13" t="s">
        <v>119</v>
      </c>
    </row>
    <row r="22" spans="1:6" x14ac:dyDescent="0.25">
      <c r="A22" s="6">
        <v>7932</v>
      </c>
      <c r="B22" s="6" t="s">
        <v>19</v>
      </c>
      <c r="C22" s="7">
        <v>7776</v>
      </c>
      <c r="D22" s="4">
        <v>0</v>
      </c>
      <c r="E22" s="8">
        <v>46014</v>
      </c>
      <c r="F22" s="4"/>
    </row>
    <row r="23" spans="1:6" x14ac:dyDescent="0.25">
      <c r="A23" s="6">
        <v>7934</v>
      </c>
      <c r="B23" s="6" t="s">
        <v>15</v>
      </c>
      <c r="C23" s="7">
        <v>1166.4000000000001</v>
      </c>
      <c r="D23" s="4" t="s">
        <v>7</v>
      </c>
      <c r="E23" s="8">
        <v>46014</v>
      </c>
      <c r="F23" s="4"/>
    </row>
    <row r="24" spans="1:6" x14ac:dyDescent="0.25">
      <c r="A24" s="6">
        <v>7937</v>
      </c>
      <c r="B24" s="6" t="s">
        <v>28</v>
      </c>
      <c r="C24" s="7">
        <v>6397.92</v>
      </c>
      <c r="D24" s="4">
        <v>0</v>
      </c>
      <c r="E24" s="8">
        <v>46035</v>
      </c>
      <c r="F24" s="4"/>
    </row>
    <row r="25" spans="1:6" x14ac:dyDescent="0.25">
      <c r="A25" s="9">
        <v>7938</v>
      </c>
      <c r="B25" s="9" t="s">
        <v>16</v>
      </c>
      <c r="C25" s="10">
        <v>756</v>
      </c>
      <c r="D25" s="11" t="s">
        <v>7</v>
      </c>
      <c r="E25" s="12">
        <v>46014</v>
      </c>
      <c r="F25" s="13" t="s">
        <v>119</v>
      </c>
    </row>
    <row r="26" spans="1:6" x14ac:dyDescent="0.25">
      <c r="A26" s="9"/>
      <c r="B26" s="9"/>
      <c r="C26" s="10"/>
      <c r="D26" s="11"/>
      <c r="E26" s="12"/>
      <c r="F26" s="13"/>
    </row>
    <row r="27" spans="1:6" x14ac:dyDescent="0.25">
      <c r="A27" s="6">
        <v>7994</v>
      </c>
      <c r="B27" s="6" t="s">
        <v>40</v>
      </c>
      <c r="C27" s="7">
        <v>6397.92</v>
      </c>
      <c r="D27" s="4">
        <v>0</v>
      </c>
      <c r="E27" s="8">
        <v>46058</v>
      </c>
      <c r="F27" s="4"/>
    </row>
    <row r="28" spans="1:6" x14ac:dyDescent="0.25">
      <c r="A28" s="6">
        <v>7948</v>
      </c>
      <c r="B28" s="6" t="s">
        <v>25</v>
      </c>
      <c r="C28" s="7">
        <v>52380</v>
      </c>
      <c r="D28" s="4">
        <v>0</v>
      </c>
      <c r="E28" s="8">
        <v>46018</v>
      </c>
      <c r="F28" s="4"/>
    </row>
    <row r="29" spans="1:6" x14ac:dyDescent="0.25">
      <c r="A29" s="6">
        <v>7949</v>
      </c>
      <c r="B29" s="6" t="s">
        <v>26</v>
      </c>
      <c r="C29" s="7">
        <v>10800</v>
      </c>
      <c r="D29" s="4">
        <v>0</v>
      </c>
      <c r="E29" s="8">
        <v>46018</v>
      </c>
      <c r="F29" s="4"/>
    </row>
    <row r="30" spans="1:6" x14ac:dyDescent="0.25">
      <c r="A30" s="6">
        <v>7992</v>
      </c>
      <c r="B30" s="6" t="s">
        <v>34</v>
      </c>
      <c r="C30" s="7">
        <v>37746</v>
      </c>
      <c r="D30" s="4">
        <v>0</v>
      </c>
      <c r="E30" s="8">
        <v>46057</v>
      </c>
      <c r="F30" s="4"/>
    </row>
    <row r="31" spans="1:6" x14ac:dyDescent="0.25">
      <c r="A31" s="6">
        <v>7993</v>
      </c>
      <c r="B31" s="6" t="s">
        <v>59</v>
      </c>
      <c r="C31" s="7">
        <v>37746</v>
      </c>
      <c r="D31" s="4">
        <v>0</v>
      </c>
      <c r="E31" s="8">
        <v>46059</v>
      </c>
      <c r="F31" s="4"/>
    </row>
    <row r="32" spans="1:6" x14ac:dyDescent="0.25">
      <c r="A32" s="6">
        <v>7995</v>
      </c>
      <c r="B32" s="6" t="s">
        <v>38</v>
      </c>
      <c r="C32" s="7">
        <v>6397.92</v>
      </c>
      <c r="D32" s="4">
        <v>0</v>
      </c>
      <c r="E32" s="8">
        <v>46058</v>
      </c>
      <c r="F32" s="4"/>
    </row>
    <row r="33" spans="1:6" x14ac:dyDescent="0.25">
      <c r="A33" s="6">
        <v>7996</v>
      </c>
      <c r="B33" s="6" t="s">
        <v>31</v>
      </c>
      <c r="C33" s="7">
        <v>6397.92</v>
      </c>
      <c r="D33" s="4">
        <v>0</v>
      </c>
      <c r="E33" s="8">
        <v>46057</v>
      </c>
      <c r="F33" s="4"/>
    </row>
    <row r="34" spans="1:6" x14ac:dyDescent="0.25">
      <c r="A34" s="6">
        <v>7997</v>
      </c>
      <c r="B34" s="6" t="s">
        <v>39</v>
      </c>
      <c r="C34" s="7">
        <v>6397.92</v>
      </c>
      <c r="D34" s="4">
        <v>0</v>
      </c>
      <c r="E34" s="8">
        <v>46058</v>
      </c>
      <c r="F34" s="4"/>
    </row>
    <row r="35" spans="1:6" x14ac:dyDescent="0.25">
      <c r="A35" s="6">
        <v>7998</v>
      </c>
      <c r="B35" s="6" t="s">
        <v>41</v>
      </c>
      <c r="C35" s="7">
        <v>6397.92</v>
      </c>
      <c r="D35" s="4">
        <v>0</v>
      </c>
      <c r="E35" s="8">
        <v>46058</v>
      </c>
      <c r="F35" s="4"/>
    </row>
    <row r="36" spans="1:6" x14ac:dyDescent="0.25">
      <c r="A36" s="6">
        <v>7999</v>
      </c>
      <c r="B36" s="6" t="s">
        <v>45</v>
      </c>
      <c r="C36" s="7">
        <v>11691</v>
      </c>
      <c r="D36" s="4">
        <v>0</v>
      </c>
      <c r="E36" s="8">
        <v>46059</v>
      </c>
      <c r="F36" s="4"/>
    </row>
    <row r="37" spans="1:6" x14ac:dyDescent="0.25">
      <c r="A37" s="6">
        <v>8000</v>
      </c>
      <c r="B37" s="6" t="s">
        <v>29</v>
      </c>
      <c r="C37" s="7">
        <v>648</v>
      </c>
      <c r="D37" s="4">
        <v>0</v>
      </c>
      <c r="E37" s="8">
        <v>46057</v>
      </c>
      <c r="F37" s="4"/>
    </row>
    <row r="38" spans="1:6" x14ac:dyDescent="0.25">
      <c r="A38" s="6">
        <v>8003</v>
      </c>
      <c r="B38" s="6" t="s">
        <v>30</v>
      </c>
      <c r="C38" s="7">
        <v>648</v>
      </c>
      <c r="D38" s="4">
        <v>0</v>
      </c>
      <c r="E38" s="8">
        <v>46057</v>
      </c>
      <c r="F38" s="4"/>
    </row>
    <row r="39" spans="1:6" x14ac:dyDescent="0.25">
      <c r="A39" s="6">
        <v>8002</v>
      </c>
      <c r="B39" s="6" t="s">
        <v>32</v>
      </c>
      <c r="C39" s="7">
        <v>864</v>
      </c>
      <c r="D39" s="4">
        <v>0</v>
      </c>
      <c r="E39" s="8">
        <v>46057</v>
      </c>
      <c r="F39" s="4"/>
    </row>
    <row r="40" spans="1:6" x14ac:dyDescent="0.25">
      <c r="A40" s="6">
        <v>8001</v>
      </c>
      <c r="B40" s="6" t="s">
        <v>33</v>
      </c>
      <c r="C40" s="7">
        <v>1026</v>
      </c>
      <c r="D40" s="4">
        <v>0</v>
      </c>
      <c r="E40" s="8">
        <v>46057</v>
      </c>
      <c r="F40" s="4"/>
    </row>
    <row r="41" spans="1:6" x14ac:dyDescent="0.25">
      <c r="A41" s="6">
        <v>8004</v>
      </c>
      <c r="B41" s="6" t="s">
        <v>70</v>
      </c>
      <c r="C41" s="7">
        <v>2700</v>
      </c>
      <c r="D41" s="4">
        <v>0</v>
      </c>
      <c r="E41" s="8">
        <v>46064</v>
      </c>
      <c r="F41" s="4"/>
    </row>
    <row r="42" spans="1:6" x14ac:dyDescent="0.25">
      <c r="A42" s="6">
        <v>8005</v>
      </c>
      <c r="B42" s="6" t="s">
        <v>36</v>
      </c>
      <c r="C42" s="7">
        <v>6397.92</v>
      </c>
      <c r="D42" s="4">
        <v>0</v>
      </c>
      <c r="E42" s="8">
        <v>46058</v>
      </c>
      <c r="F42" s="4"/>
    </row>
    <row r="43" spans="1:6" x14ac:dyDescent="0.25">
      <c r="A43" s="6">
        <v>8006</v>
      </c>
      <c r="B43" s="6" t="s">
        <v>63</v>
      </c>
      <c r="C43" s="7">
        <v>1620</v>
      </c>
      <c r="D43" s="4">
        <v>0</v>
      </c>
      <c r="E43" s="8">
        <v>46059</v>
      </c>
      <c r="F43" s="4"/>
    </row>
    <row r="44" spans="1:6" x14ac:dyDescent="0.25">
      <c r="A44" s="6">
        <v>8007</v>
      </c>
      <c r="B44" s="6" t="s">
        <v>55</v>
      </c>
      <c r="C44" s="7">
        <v>1148.4000000000001</v>
      </c>
      <c r="D44" s="4">
        <v>0</v>
      </c>
      <c r="E44" s="8">
        <v>46059</v>
      </c>
      <c r="F44" s="4"/>
    </row>
    <row r="45" spans="1:6" x14ac:dyDescent="0.25">
      <c r="A45" s="6">
        <v>8008</v>
      </c>
      <c r="B45" s="6" t="s">
        <v>66</v>
      </c>
      <c r="C45" s="7">
        <v>864</v>
      </c>
      <c r="D45" s="4">
        <v>0</v>
      </c>
      <c r="E45" s="8">
        <v>46063</v>
      </c>
      <c r="F45" s="4"/>
    </row>
    <row r="46" spans="1:6" x14ac:dyDescent="0.25">
      <c r="A46" s="6">
        <v>8009</v>
      </c>
      <c r="B46" s="6" t="s">
        <v>35</v>
      </c>
      <c r="C46" s="7">
        <v>893.2</v>
      </c>
      <c r="D46" s="4">
        <v>0</v>
      </c>
      <c r="E46" s="8">
        <v>46058</v>
      </c>
      <c r="F46" s="4"/>
    </row>
    <row r="47" spans="1:6" x14ac:dyDescent="0.25">
      <c r="A47" s="6">
        <v>8010</v>
      </c>
      <c r="B47" s="6" t="s">
        <v>58</v>
      </c>
      <c r="C47" s="7">
        <v>1296</v>
      </c>
      <c r="D47" s="4">
        <v>0</v>
      </c>
      <c r="E47" s="8">
        <v>46059</v>
      </c>
      <c r="F47" s="4"/>
    </row>
    <row r="48" spans="1:6" x14ac:dyDescent="0.25">
      <c r="A48" s="6">
        <v>8011</v>
      </c>
      <c r="B48" s="6" t="s">
        <v>43</v>
      </c>
      <c r="C48" s="7">
        <v>2484</v>
      </c>
      <c r="D48" s="4">
        <v>0</v>
      </c>
      <c r="E48" s="8">
        <v>46059</v>
      </c>
      <c r="F48" s="4"/>
    </row>
    <row r="49" spans="1:6" x14ac:dyDescent="0.25">
      <c r="A49" s="6">
        <v>8012</v>
      </c>
      <c r="B49" s="6" t="s">
        <v>65</v>
      </c>
      <c r="C49" s="7">
        <v>2376</v>
      </c>
      <c r="D49" s="4">
        <v>0</v>
      </c>
      <c r="E49" s="8">
        <v>46059</v>
      </c>
      <c r="F49" s="4"/>
    </row>
    <row r="50" spans="1:6" x14ac:dyDescent="0.25">
      <c r="A50" s="6">
        <v>8013</v>
      </c>
      <c r="B50" s="6" t="s">
        <v>53</v>
      </c>
      <c r="C50" s="7">
        <v>1890</v>
      </c>
      <c r="D50" s="4">
        <v>0</v>
      </c>
      <c r="E50" s="8">
        <v>46059</v>
      </c>
      <c r="F50" s="4"/>
    </row>
    <row r="51" spans="1:6" x14ac:dyDescent="0.25">
      <c r="A51" s="6">
        <v>8014</v>
      </c>
      <c r="B51" s="6" t="s">
        <v>44</v>
      </c>
      <c r="C51" s="7">
        <v>1296</v>
      </c>
      <c r="D51" s="4">
        <v>0</v>
      </c>
      <c r="E51" s="8">
        <v>46059</v>
      </c>
      <c r="F51" s="4"/>
    </row>
    <row r="52" spans="1:6" x14ac:dyDescent="0.25">
      <c r="A52" s="6">
        <v>8015</v>
      </c>
      <c r="B52" s="6" t="s">
        <v>50</v>
      </c>
      <c r="C52" s="7">
        <v>864</v>
      </c>
      <c r="D52" s="4">
        <v>0</v>
      </c>
      <c r="E52" s="8">
        <v>46059</v>
      </c>
      <c r="F52" s="4"/>
    </row>
    <row r="53" spans="1:6" x14ac:dyDescent="0.25">
      <c r="A53" s="6">
        <v>8016</v>
      </c>
      <c r="B53" s="6" t="s">
        <v>56</v>
      </c>
      <c r="C53" s="7">
        <v>2484</v>
      </c>
      <c r="D53" s="4">
        <v>0</v>
      </c>
      <c r="E53" s="8">
        <v>46059</v>
      </c>
      <c r="F53" s="4"/>
    </row>
    <row r="54" spans="1:6" x14ac:dyDescent="0.25">
      <c r="A54" s="6">
        <v>8017</v>
      </c>
      <c r="B54" s="6" t="s">
        <v>52</v>
      </c>
      <c r="C54" s="7">
        <v>1242</v>
      </c>
      <c r="D54" s="4">
        <v>0</v>
      </c>
      <c r="E54" s="8">
        <v>46059</v>
      </c>
      <c r="F54" s="4"/>
    </row>
    <row r="55" spans="1:6" x14ac:dyDescent="0.25">
      <c r="A55" s="6">
        <v>8018</v>
      </c>
      <c r="B55" s="6" t="s">
        <v>54</v>
      </c>
      <c r="C55" s="7">
        <v>1188</v>
      </c>
      <c r="D55" s="4">
        <v>0</v>
      </c>
      <c r="E55" s="8">
        <v>46059</v>
      </c>
      <c r="F55" s="4"/>
    </row>
    <row r="56" spans="1:6" x14ac:dyDescent="0.25">
      <c r="A56" s="6">
        <v>8019</v>
      </c>
      <c r="B56" s="6" t="s">
        <v>62</v>
      </c>
      <c r="C56" s="7">
        <v>1080</v>
      </c>
      <c r="D56" s="4">
        <v>0</v>
      </c>
      <c r="E56" s="8">
        <v>46059</v>
      </c>
      <c r="F56" s="4"/>
    </row>
    <row r="57" spans="1:6" x14ac:dyDescent="0.25">
      <c r="A57" s="6">
        <v>8020</v>
      </c>
      <c r="B57" s="6" t="s">
        <v>69</v>
      </c>
      <c r="C57" s="7">
        <v>1036.8</v>
      </c>
      <c r="D57" s="4">
        <v>0</v>
      </c>
      <c r="E57" s="8">
        <v>46064</v>
      </c>
      <c r="F57" s="4"/>
    </row>
    <row r="58" spans="1:6" x14ac:dyDescent="0.25">
      <c r="A58" s="6">
        <v>8021</v>
      </c>
      <c r="B58" s="6" t="s">
        <v>57</v>
      </c>
      <c r="C58" s="7">
        <v>1512</v>
      </c>
      <c r="D58" s="4">
        <v>0</v>
      </c>
      <c r="E58" s="8">
        <v>46059</v>
      </c>
      <c r="F58" s="4"/>
    </row>
    <row r="59" spans="1:6" x14ac:dyDescent="0.25">
      <c r="A59" s="6">
        <v>8022</v>
      </c>
      <c r="B59" s="6" t="s">
        <v>60</v>
      </c>
      <c r="C59" s="7">
        <v>864</v>
      </c>
      <c r="D59" s="4">
        <v>0</v>
      </c>
      <c r="E59" s="8">
        <v>46059</v>
      </c>
      <c r="F59" s="4"/>
    </row>
    <row r="60" spans="1:6" x14ac:dyDescent="0.25">
      <c r="A60" s="6">
        <v>8023</v>
      </c>
      <c r="B60" s="6" t="s">
        <v>49</v>
      </c>
      <c r="C60" s="7">
        <v>1393.2</v>
      </c>
      <c r="D60" s="4">
        <v>0</v>
      </c>
      <c r="E60" s="8">
        <v>46059</v>
      </c>
      <c r="F60" s="4"/>
    </row>
    <row r="61" spans="1:6" x14ac:dyDescent="0.25">
      <c r="A61" s="6">
        <v>8024</v>
      </c>
      <c r="B61" s="6" t="s">
        <v>71</v>
      </c>
      <c r="C61" s="7">
        <v>2592</v>
      </c>
      <c r="D61" s="4">
        <v>0</v>
      </c>
      <c r="E61" s="8">
        <v>46064</v>
      </c>
      <c r="F61" s="4"/>
    </row>
    <row r="62" spans="1:6" x14ac:dyDescent="0.25">
      <c r="A62" s="6">
        <v>8025</v>
      </c>
      <c r="B62" s="6" t="s">
        <v>42</v>
      </c>
      <c r="C62" s="7">
        <v>3780</v>
      </c>
      <c r="D62" s="4">
        <v>0</v>
      </c>
      <c r="E62" s="8">
        <v>46059</v>
      </c>
      <c r="F62" s="4"/>
    </row>
    <row r="63" spans="1:6" x14ac:dyDescent="0.25">
      <c r="A63" s="6">
        <v>8026</v>
      </c>
      <c r="B63" s="6" t="s">
        <v>51</v>
      </c>
      <c r="C63" s="7">
        <v>864</v>
      </c>
      <c r="D63" s="4">
        <v>0</v>
      </c>
      <c r="E63" s="8">
        <v>46059</v>
      </c>
      <c r="F63" s="4"/>
    </row>
    <row r="64" spans="1:6" x14ac:dyDescent="0.25">
      <c r="A64" s="6">
        <v>8027</v>
      </c>
      <c r="B64" s="6" t="s">
        <v>67</v>
      </c>
      <c r="C64" s="7">
        <v>3240</v>
      </c>
      <c r="D64" s="4">
        <v>0</v>
      </c>
      <c r="E64" s="8">
        <v>46064</v>
      </c>
      <c r="F64" s="4"/>
    </row>
    <row r="65" spans="1:6" x14ac:dyDescent="0.25">
      <c r="A65" s="6">
        <v>8028</v>
      </c>
      <c r="B65" s="6" t="s">
        <v>48</v>
      </c>
      <c r="C65" s="7">
        <v>2354.4</v>
      </c>
      <c r="D65" s="4">
        <v>0</v>
      </c>
      <c r="E65" s="8">
        <v>46059</v>
      </c>
      <c r="F65" s="4"/>
    </row>
    <row r="66" spans="1:6" x14ac:dyDescent="0.25">
      <c r="A66" s="6">
        <v>8029</v>
      </c>
      <c r="B66" s="6" t="s">
        <v>61</v>
      </c>
      <c r="C66" s="7">
        <v>3931.2</v>
      </c>
      <c r="D66" s="4">
        <v>0</v>
      </c>
      <c r="E66" s="8">
        <v>46059</v>
      </c>
      <c r="F66" s="4"/>
    </row>
    <row r="67" spans="1:6" x14ac:dyDescent="0.25">
      <c r="A67" s="6">
        <v>8030</v>
      </c>
      <c r="B67" s="6" t="s">
        <v>68</v>
      </c>
      <c r="C67" s="7">
        <v>3780</v>
      </c>
      <c r="D67" s="4">
        <v>0</v>
      </c>
      <c r="E67" s="8">
        <v>46064</v>
      </c>
      <c r="F67" s="4"/>
    </row>
    <row r="68" spans="1:6" x14ac:dyDescent="0.25">
      <c r="A68" s="6">
        <v>8031</v>
      </c>
      <c r="B68" s="6" t="s">
        <v>46</v>
      </c>
      <c r="C68" s="7">
        <v>1296</v>
      </c>
      <c r="D68" s="4">
        <v>0</v>
      </c>
      <c r="E68" s="8">
        <v>46059</v>
      </c>
      <c r="F68" s="4"/>
    </row>
    <row r="69" spans="1:6" x14ac:dyDescent="0.25">
      <c r="A69" s="6">
        <v>8032</v>
      </c>
      <c r="B69" s="6" t="s">
        <v>64</v>
      </c>
      <c r="C69" s="7">
        <v>2700</v>
      </c>
      <c r="D69" s="4">
        <v>0</v>
      </c>
      <c r="E69" s="8">
        <v>46059</v>
      </c>
      <c r="F69" s="4"/>
    </row>
    <row r="70" spans="1:6" x14ac:dyDescent="0.25">
      <c r="A70" s="6">
        <v>8033</v>
      </c>
      <c r="B70" s="6" t="s">
        <v>47</v>
      </c>
      <c r="C70" s="7">
        <v>2052</v>
      </c>
      <c r="D70" s="4">
        <v>0</v>
      </c>
      <c r="E70" s="8">
        <v>46059</v>
      </c>
      <c r="F70" s="4"/>
    </row>
    <row r="71" spans="1:6" x14ac:dyDescent="0.25">
      <c r="A71" s="6">
        <v>8034</v>
      </c>
      <c r="B71" s="6" t="s">
        <v>37</v>
      </c>
      <c r="C71" s="7">
        <v>583.20000000000005</v>
      </c>
      <c r="D71" s="4">
        <v>0</v>
      </c>
      <c r="E71" s="8">
        <v>46058</v>
      </c>
      <c r="F71" s="4"/>
    </row>
    <row r="72" spans="1:6" x14ac:dyDescent="0.25">
      <c r="A72" s="6">
        <v>8051</v>
      </c>
      <c r="B72" s="6" t="s">
        <v>73</v>
      </c>
      <c r="C72" s="7">
        <v>11377.8</v>
      </c>
      <c r="D72" s="4">
        <v>0</v>
      </c>
      <c r="E72" s="8">
        <v>46077</v>
      </c>
      <c r="F72" s="4"/>
    </row>
    <row r="73" spans="1:6" x14ac:dyDescent="0.25">
      <c r="A73" s="35">
        <v>8052</v>
      </c>
      <c r="B73" s="35" t="s">
        <v>145</v>
      </c>
      <c r="C73" s="36">
        <v>12980</v>
      </c>
      <c r="D73" s="37"/>
      <c r="E73" s="38">
        <v>46077</v>
      </c>
      <c r="F73" s="37"/>
    </row>
    <row r="74" spans="1:6" x14ac:dyDescent="0.25">
      <c r="A74" s="35">
        <v>8054</v>
      </c>
      <c r="B74" s="35" t="s">
        <v>144</v>
      </c>
      <c r="C74" s="36">
        <v>19488</v>
      </c>
      <c r="D74" s="37"/>
      <c r="E74" s="38">
        <v>46077</v>
      </c>
      <c r="F74" s="37"/>
    </row>
    <row r="75" spans="1:6" x14ac:dyDescent="0.25">
      <c r="A75" s="35">
        <v>8055</v>
      </c>
      <c r="B75" s="35" t="s">
        <v>146</v>
      </c>
      <c r="C75" s="36">
        <v>6397.92</v>
      </c>
      <c r="D75" s="37"/>
      <c r="E75" s="38">
        <v>46077</v>
      </c>
      <c r="F75" s="37"/>
    </row>
    <row r="76" spans="1:6" x14ac:dyDescent="0.25">
      <c r="A76" s="35">
        <v>8056</v>
      </c>
      <c r="B76" s="35" t="s">
        <v>75</v>
      </c>
      <c r="C76" s="36">
        <v>1392</v>
      </c>
      <c r="D76" s="37">
        <v>0</v>
      </c>
      <c r="E76" s="38">
        <v>46079</v>
      </c>
      <c r="F76" s="37"/>
    </row>
    <row r="77" spans="1:6" x14ac:dyDescent="0.25">
      <c r="A77" s="35">
        <v>8057</v>
      </c>
      <c r="B77" s="35" t="s">
        <v>78</v>
      </c>
      <c r="C77" s="36">
        <v>2646</v>
      </c>
      <c r="D77" s="37">
        <v>0</v>
      </c>
      <c r="E77" s="38">
        <v>46079</v>
      </c>
      <c r="F77" s="37"/>
    </row>
    <row r="78" spans="1:6" x14ac:dyDescent="0.25">
      <c r="A78" s="35">
        <v>8058</v>
      </c>
      <c r="B78" s="35" t="s">
        <v>147</v>
      </c>
      <c r="C78" s="36">
        <v>6397.92</v>
      </c>
      <c r="D78" s="37"/>
      <c r="E78" s="38">
        <v>46077</v>
      </c>
      <c r="F78" s="37"/>
    </row>
    <row r="79" spans="1:6" x14ac:dyDescent="0.25">
      <c r="A79" s="35">
        <v>8059</v>
      </c>
      <c r="B79" s="35" t="s">
        <v>82</v>
      </c>
      <c r="C79" s="36">
        <v>3240</v>
      </c>
      <c r="D79" s="37">
        <v>0</v>
      </c>
      <c r="E79" s="38">
        <v>46079</v>
      </c>
      <c r="F79" s="37"/>
    </row>
    <row r="80" spans="1:6" x14ac:dyDescent="0.25">
      <c r="A80" s="35">
        <v>8060</v>
      </c>
      <c r="B80" s="35" t="s">
        <v>80</v>
      </c>
      <c r="C80" s="36">
        <v>3434.4</v>
      </c>
      <c r="D80" s="37">
        <v>0</v>
      </c>
      <c r="E80" s="38">
        <v>46079</v>
      </c>
      <c r="F80" s="37"/>
    </row>
    <row r="81" spans="1:7" x14ac:dyDescent="0.25">
      <c r="A81" s="35">
        <v>8061</v>
      </c>
      <c r="B81" s="35" t="s">
        <v>148</v>
      </c>
      <c r="C81" s="36">
        <v>6397.92</v>
      </c>
      <c r="D81" s="37"/>
      <c r="E81" s="38">
        <v>46079</v>
      </c>
      <c r="F81" s="37"/>
    </row>
    <row r="82" spans="1:7" x14ac:dyDescent="0.25">
      <c r="A82" s="35">
        <v>8062</v>
      </c>
      <c r="B82" s="35" t="s">
        <v>74</v>
      </c>
      <c r="C82" s="36">
        <v>6397.92</v>
      </c>
      <c r="D82" s="37">
        <v>0</v>
      </c>
      <c r="E82" s="38">
        <v>46079</v>
      </c>
      <c r="F82" s="37"/>
    </row>
    <row r="83" spans="1:7" x14ac:dyDescent="0.25">
      <c r="A83" s="35">
        <v>8063</v>
      </c>
      <c r="B83" s="35" t="s">
        <v>76</v>
      </c>
      <c r="C83" s="36">
        <v>648</v>
      </c>
      <c r="D83" s="37">
        <v>0</v>
      </c>
      <c r="E83" s="38">
        <v>46079</v>
      </c>
      <c r="F83" s="37"/>
    </row>
    <row r="84" spans="1:7" x14ac:dyDescent="0.25">
      <c r="A84" s="35">
        <v>8064</v>
      </c>
      <c r="B84" s="35" t="s">
        <v>83</v>
      </c>
      <c r="C84" s="36">
        <v>3240</v>
      </c>
      <c r="D84" s="37">
        <v>0</v>
      </c>
      <c r="E84" s="38">
        <v>46079</v>
      </c>
      <c r="F84" s="37"/>
    </row>
    <row r="85" spans="1:7" x14ac:dyDescent="0.25">
      <c r="A85" s="35">
        <v>8065</v>
      </c>
      <c r="B85" s="35" t="s">
        <v>81</v>
      </c>
      <c r="C85" s="36">
        <v>6397.92</v>
      </c>
      <c r="D85" s="37">
        <v>0</v>
      </c>
      <c r="E85" s="38">
        <v>46079</v>
      </c>
      <c r="F85" s="37"/>
    </row>
    <row r="86" spans="1:7" x14ac:dyDescent="0.25">
      <c r="A86" s="35">
        <v>8066</v>
      </c>
      <c r="B86" s="35" t="s">
        <v>149</v>
      </c>
      <c r="C86" s="36">
        <v>6397.92</v>
      </c>
      <c r="D86" s="37"/>
      <c r="E86" s="38">
        <v>46079</v>
      </c>
      <c r="F86" s="37"/>
    </row>
    <row r="87" spans="1:7" x14ac:dyDescent="0.25">
      <c r="A87" s="35">
        <v>8067</v>
      </c>
      <c r="B87" s="35" t="s">
        <v>77</v>
      </c>
      <c r="C87" s="36">
        <v>6397.92</v>
      </c>
      <c r="D87" s="37">
        <v>0</v>
      </c>
      <c r="E87" s="38">
        <v>46079</v>
      </c>
      <c r="F87" s="37"/>
    </row>
    <row r="88" spans="1:7" x14ac:dyDescent="0.25">
      <c r="A88" s="35">
        <v>8068</v>
      </c>
      <c r="B88" s="35" t="s">
        <v>79</v>
      </c>
      <c r="C88" s="36">
        <v>2160</v>
      </c>
      <c r="D88" s="37">
        <v>0</v>
      </c>
      <c r="E88" s="38">
        <v>46079</v>
      </c>
      <c r="F88" s="37"/>
    </row>
    <row r="89" spans="1:7" x14ac:dyDescent="0.25">
      <c r="A89" s="6">
        <v>8069</v>
      </c>
      <c r="B89" s="6" t="s">
        <v>72</v>
      </c>
      <c r="C89" s="7">
        <v>10260</v>
      </c>
      <c r="D89" s="4">
        <v>0</v>
      </c>
      <c r="E89" s="8">
        <v>46077</v>
      </c>
      <c r="F89" s="4"/>
      <c r="G89" s="5">
        <f>SUM(C4:C89)</f>
        <v>614178.08000000031</v>
      </c>
    </row>
    <row r="90" spans="1:7" x14ac:dyDescent="0.25">
      <c r="A90" s="14">
        <v>8078</v>
      </c>
      <c r="B90" s="14" t="s">
        <v>85</v>
      </c>
      <c r="C90" s="15">
        <v>1620</v>
      </c>
      <c r="D90" s="16"/>
      <c r="E90" s="16"/>
      <c r="F90" s="16" t="s">
        <v>116</v>
      </c>
    </row>
    <row r="91" spans="1:7" x14ac:dyDescent="0.25">
      <c r="A91" s="14">
        <v>8079</v>
      </c>
      <c r="B91" s="14" t="s">
        <v>86</v>
      </c>
      <c r="C91" s="15">
        <v>1576.8</v>
      </c>
      <c r="D91" s="16"/>
      <c r="E91" s="16"/>
      <c r="F91" s="16" t="s">
        <v>116</v>
      </c>
    </row>
    <row r="92" spans="1:7" x14ac:dyDescent="0.25">
      <c r="A92" s="1">
        <v>8080</v>
      </c>
      <c r="B92" s="1" t="s">
        <v>87</v>
      </c>
      <c r="C92" s="17">
        <v>2268</v>
      </c>
    </row>
    <row r="93" spans="1:7" x14ac:dyDescent="0.25">
      <c r="A93" s="14">
        <v>8081</v>
      </c>
      <c r="B93" s="14" t="s">
        <v>88</v>
      </c>
      <c r="C93" s="15">
        <v>3480</v>
      </c>
      <c r="D93" s="16"/>
      <c r="E93" s="16"/>
      <c r="F93" s="16" t="s">
        <v>117</v>
      </c>
    </row>
    <row r="94" spans="1:7" x14ac:dyDescent="0.25">
      <c r="A94" s="14">
        <v>8082</v>
      </c>
      <c r="B94" s="14" t="s">
        <v>89</v>
      </c>
      <c r="C94" s="15">
        <v>1620</v>
      </c>
      <c r="D94" s="16"/>
      <c r="E94" s="16"/>
      <c r="F94" s="16" t="s">
        <v>117</v>
      </c>
    </row>
    <row r="95" spans="1:7" x14ac:dyDescent="0.25">
      <c r="A95" s="14">
        <v>8083</v>
      </c>
      <c r="B95" s="14" t="s">
        <v>90</v>
      </c>
      <c r="C95" s="15">
        <v>6032</v>
      </c>
      <c r="D95" s="16"/>
      <c r="E95" s="16"/>
      <c r="F95" s="16" t="s">
        <v>117</v>
      </c>
    </row>
    <row r="96" spans="1:7" x14ac:dyDescent="0.25">
      <c r="A96" s="14">
        <v>8084</v>
      </c>
      <c r="B96" s="14" t="s">
        <v>115</v>
      </c>
      <c r="C96" s="15">
        <v>648</v>
      </c>
      <c r="D96" s="16"/>
      <c r="E96" s="16"/>
      <c r="F96" s="16" t="s">
        <v>117</v>
      </c>
    </row>
    <row r="97" spans="1:6" x14ac:dyDescent="0.25">
      <c r="A97" s="14">
        <v>8085</v>
      </c>
      <c r="B97" s="14" t="s">
        <v>91</v>
      </c>
      <c r="C97" s="15">
        <v>1740</v>
      </c>
      <c r="D97" s="16"/>
      <c r="E97" s="16"/>
      <c r="F97" s="16" t="s">
        <v>117</v>
      </c>
    </row>
    <row r="98" spans="1:6" x14ac:dyDescent="0.25">
      <c r="A98" s="14">
        <v>8086</v>
      </c>
      <c r="B98" s="14" t="s">
        <v>92</v>
      </c>
      <c r="C98" s="15">
        <v>5940</v>
      </c>
      <c r="D98" s="16"/>
      <c r="E98" s="16"/>
      <c r="F98" s="16" t="s">
        <v>117</v>
      </c>
    </row>
    <row r="99" spans="1:6" x14ac:dyDescent="0.25">
      <c r="A99" s="14">
        <v>8087</v>
      </c>
      <c r="B99" s="14" t="s">
        <v>93</v>
      </c>
      <c r="C99" s="15">
        <v>648</v>
      </c>
      <c r="D99" s="16"/>
      <c r="E99" s="16"/>
      <c r="F99" s="16" t="s">
        <v>117</v>
      </c>
    </row>
    <row r="100" spans="1:6" x14ac:dyDescent="0.25">
      <c r="A100" s="14">
        <v>8088</v>
      </c>
      <c r="B100" s="14" t="s">
        <v>94</v>
      </c>
      <c r="C100" s="15">
        <v>918</v>
      </c>
      <c r="D100" s="16"/>
      <c r="E100" s="16"/>
      <c r="F100" s="16" t="s">
        <v>117</v>
      </c>
    </row>
    <row r="101" spans="1:6" x14ac:dyDescent="0.25">
      <c r="A101" s="14">
        <v>8089</v>
      </c>
      <c r="B101" s="14" t="s">
        <v>95</v>
      </c>
      <c r="C101" s="15">
        <v>3780</v>
      </c>
      <c r="D101" s="16"/>
      <c r="E101" s="16"/>
      <c r="F101" s="16" t="s">
        <v>117</v>
      </c>
    </row>
    <row r="102" spans="1:6" x14ac:dyDescent="0.25">
      <c r="A102" s="14">
        <v>8090</v>
      </c>
      <c r="B102" s="14" t="s">
        <v>96</v>
      </c>
      <c r="C102" s="15">
        <v>6397.92</v>
      </c>
      <c r="D102" s="16"/>
      <c r="E102" s="16"/>
      <c r="F102" s="16" t="s">
        <v>117</v>
      </c>
    </row>
    <row r="103" spans="1:6" x14ac:dyDescent="0.25">
      <c r="A103" s="14">
        <v>8091</v>
      </c>
      <c r="B103" s="14" t="s">
        <v>97</v>
      </c>
      <c r="C103" s="15">
        <v>918</v>
      </c>
      <c r="D103" s="16"/>
      <c r="E103" s="16"/>
      <c r="F103" s="16" t="s">
        <v>117</v>
      </c>
    </row>
    <row r="104" spans="1:6" x14ac:dyDescent="0.25">
      <c r="A104" s="14">
        <v>8092</v>
      </c>
      <c r="B104" s="14" t="s">
        <v>98</v>
      </c>
      <c r="C104" s="15">
        <v>97.2</v>
      </c>
      <c r="D104" s="16"/>
      <c r="E104" s="16"/>
      <c r="F104" s="16" t="s">
        <v>117</v>
      </c>
    </row>
    <row r="105" spans="1:6" x14ac:dyDescent="0.25">
      <c r="A105" s="14">
        <v>8093</v>
      </c>
      <c r="B105" s="14" t="s">
        <v>99</v>
      </c>
      <c r="C105" s="15">
        <v>864</v>
      </c>
      <c r="D105" s="16"/>
      <c r="E105" s="16"/>
      <c r="F105" s="16" t="s">
        <v>117</v>
      </c>
    </row>
    <row r="106" spans="1:6" x14ac:dyDescent="0.25">
      <c r="A106" s="14">
        <v>8094</v>
      </c>
      <c r="B106" s="14" t="s">
        <v>100</v>
      </c>
      <c r="C106" s="15">
        <v>291.60000000000002</v>
      </c>
      <c r="D106" s="16"/>
      <c r="E106" s="16"/>
      <c r="F106" s="16" t="s">
        <v>117</v>
      </c>
    </row>
    <row r="107" spans="1:6" x14ac:dyDescent="0.25">
      <c r="A107" s="14">
        <v>8095</v>
      </c>
      <c r="B107" s="14" t="s">
        <v>101</v>
      </c>
      <c r="C107" s="15">
        <v>1944</v>
      </c>
      <c r="D107" s="16"/>
      <c r="E107" s="16"/>
      <c r="F107" s="16" t="s">
        <v>117</v>
      </c>
    </row>
    <row r="108" spans="1:6" x14ac:dyDescent="0.25">
      <c r="A108" s="14">
        <v>8096</v>
      </c>
      <c r="B108" s="14" t="s">
        <v>102</v>
      </c>
      <c r="C108" s="15">
        <v>1674</v>
      </c>
      <c r="D108" s="16"/>
      <c r="E108" s="16"/>
      <c r="F108" s="16" t="s">
        <v>117</v>
      </c>
    </row>
    <row r="109" spans="1:6" x14ac:dyDescent="0.25">
      <c r="A109" s="14">
        <v>8097</v>
      </c>
      <c r="B109" s="14" t="s">
        <v>103</v>
      </c>
      <c r="C109" s="15">
        <v>2320</v>
      </c>
      <c r="D109" s="16"/>
      <c r="E109" s="16"/>
      <c r="F109" s="16" t="s">
        <v>117</v>
      </c>
    </row>
    <row r="110" spans="1:6" x14ac:dyDescent="0.25">
      <c r="A110" s="14">
        <v>8098</v>
      </c>
      <c r="B110" s="14" t="s">
        <v>96</v>
      </c>
      <c r="C110" s="15">
        <v>1836</v>
      </c>
      <c r="D110" s="16"/>
      <c r="E110" s="16"/>
      <c r="F110" s="16" t="s">
        <v>117</v>
      </c>
    </row>
    <row r="111" spans="1:6" x14ac:dyDescent="0.25">
      <c r="A111" s="14">
        <v>8099</v>
      </c>
      <c r="B111" s="14" t="s">
        <v>104</v>
      </c>
      <c r="C111" s="15">
        <v>194.4</v>
      </c>
      <c r="D111" s="16"/>
      <c r="E111" s="16"/>
      <c r="F111" s="16" t="s">
        <v>117</v>
      </c>
    </row>
    <row r="112" spans="1:6" x14ac:dyDescent="0.25">
      <c r="A112" s="14">
        <v>8100</v>
      </c>
      <c r="B112" s="14" t="s">
        <v>105</v>
      </c>
      <c r="C112" s="15">
        <v>4060</v>
      </c>
      <c r="D112" s="16"/>
      <c r="E112" s="16"/>
      <c r="F112" s="16" t="s">
        <v>117</v>
      </c>
    </row>
    <row r="113" spans="1:8" x14ac:dyDescent="0.25">
      <c r="A113" s="14">
        <v>8101</v>
      </c>
      <c r="B113" s="14" t="s">
        <v>106</v>
      </c>
      <c r="C113" s="15">
        <v>1100</v>
      </c>
      <c r="D113" s="16"/>
      <c r="E113" s="16"/>
      <c r="F113" s="16" t="s">
        <v>117</v>
      </c>
    </row>
    <row r="114" spans="1:8" x14ac:dyDescent="0.25">
      <c r="A114" s="14">
        <v>8102</v>
      </c>
      <c r="B114" s="14" t="s">
        <v>107</v>
      </c>
      <c r="C114" s="15">
        <v>1134</v>
      </c>
      <c r="D114" s="16"/>
      <c r="E114" s="16"/>
      <c r="F114" s="16" t="s">
        <v>117</v>
      </c>
    </row>
    <row r="115" spans="1:8" x14ac:dyDescent="0.25">
      <c r="A115" s="14">
        <v>8103</v>
      </c>
      <c r="B115" s="14" t="s">
        <v>108</v>
      </c>
      <c r="C115" s="15">
        <v>6397.92</v>
      </c>
      <c r="D115" s="16"/>
      <c r="E115" s="16"/>
      <c r="F115" s="16" t="s">
        <v>117</v>
      </c>
    </row>
    <row r="116" spans="1:8" x14ac:dyDescent="0.25">
      <c r="A116" s="14">
        <v>8104</v>
      </c>
      <c r="B116" s="14" t="s">
        <v>109</v>
      </c>
      <c r="C116" s="15">
        <v>4536</v>
      </c>
      <c r="D116" s="16"/>
      <c r="E116" s="16"/>
      <c r="F116" s="16" t="s">
        <v>117</v>
      </c>
    </row>
    <row r="117" spans="1:8" x14ac:dyDescent="0.25">
      <c r="A117" s="14">
        <v>8105</v>
      </c>
      <c r="B117" s="14" t="s">
        <v>110</v>
      </c>
      <c r="C117" s="15">
        <v>7560</v>
      </c>
      <c r="D117" s="16"/>
      <c r="E117" s="16"/>
      <c r="F117" s="16" t="s">
        <v>117</v>
      </c>
    </row>
    <row r="118" spans="1:8" x14ac:dyDescent="0.25">
      <c r="A118" s="14">
        <v>8106</v>
      </c>
      <c r="B118" s="14" t="s">
        <v>111</v>
      </c>
      <c r="C118" s="15">
        <v>1392</v>
      </c>
      <c r="D118" s="16"/>
      <c r="E118" s="16"/>
      <c r="F118" s="16" t="s">
        <v>117</v>
      </c>
    </row>
    <row r="119" spans="1:8" x14ac:dyDescent="0.25">
      <c r="A119" s="14">
        <v>8107</v>
      </c>
      <c r="B119" s="14" t="s">
        <v>112</v>
      </c>
      <c r="C119" s="15">
        <v>5220</v>
      </c>
      <c r="D119" s="16"/>
      <c r="E119" s="16"/>
      <c r="F119" s="16" t="s">
        <v>117</v>
      </c>
    </row>
    <row r="120" spans="1:8" x14ac:dyDescent="0.25">
      <c r="A120" s="14">
        <v>8108</v>
      </c>
      <c r="B120" s="14" t="s">
        <v>113</v>
      </c>
      <c r="C120" s="15">
        <v>1425.6</v>
      </c>
      <c r="D120" s="16"/>
      <c r="E120" s="16"/>
      <c r="F120" s="16" t="s">
        <v>117</v>
      </c>
    </row>
    <row r="121" spans="1:8" x14ac:dyDescent="0.25">
      <c r="A121" s="14">
        <v>8109</v>
      </c>
      <c r="B121" s="14" t="s">
        <v>114</v>
      </c>
      <c r="C121" s="15">
        <v>1296</v>
      </c>
      <c r="D121" s="16"/>
      <c r="E121" s="16"/>
      <c r="F121" s="16" t="s">
        <v>117</v>
      </c>
      <c r="G121" s="5">
        <f>SUM(C90:C121)</f>
        <v>80929.440000000002</v>
      </c>
    </row>
    <row r="122" spans="1:8" x14ac:dyDescent="0.25">
      <c r="E122" s="22" t="s">
        <v>128</v>
      </c>
      <c r="H122" s="5">
        <f>SUM(G121,G89)</f>
        <v>695107.52000000025</v>
      </c>
    </row>
    <row r="123" spans="1:8" x14ac:dyDescent="0.25">
      <c r="E123" s="22" t="s">
        <v>118</v>
      </c>
      <c r="H123" s="18">
        <f>+'PTE OC 25-26'!F68</f>
        <v>408607.35999999993</v>
      </c>
    </row>
    <row r="124" spans="1:8" x14ac:dyDescent="0.25">
      <c r="E124" s="22" t="s">
        <v>129</v>
      </c>
      <c r="H124" s="23">
        <f>+H122+H123</f>
        <v>1103714.8800000001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8854-8F0C-4763-A48B-52329DB5BC82}">
  <dimension ref="A2:F75"/>
  <sheetViews>
    <sheetView workbookViewId="0">
      <selection activeCell="C12" sqref="C12"/>
    </sheetView>
  </sheetViews>
  <sheetFormatPr baseColWidth="10" defaultRowHeight="15" x14ac:dyDescent="0.25"/>
  <cols>
    <col min="1" max="1" width="3.28515625" customWidth="1"/>
    <col min="2" max="2" width="8.7109375" customWidth="1"/>
    <col min="3" max="3" width="10.85546875" customWidth="1"/>
    <col min="4" max="4" width="16" customWidth="1"/>
    <col min="5" max="5" width="26.28515625" customWidth="1"/>
    <col min="6" max="6" width="13.28515625" customWidth="1"/>
    <col min="7" max="7" width="12.5703125" bestFit="1" customWidth="1"/>
  </cols>
  <sheetData>
    <row r="2" spans="1:6" x14ac:dyDescent="0.25">
      <c r="A2" s="34" t="s">
        <v>126</v>
      </c>
      <c r="B2" s="34"/>
      <c r="C2" s="34"/>
      <c r="D2" s="34"/>
      <c r="E2" s="34"/>
      <c r="F2" s="34"/>
    </row>
    <row r="4" spans="1:6" x14ac:dyDescent="0.25">
      <c r="A4" s="22"/>
      <c r="B4" s="24" t="s">
        <v>120</v>
      </c>
      <c r="C4" s="24" t="s">
        <v>121</v>
      </c>
      <c r="D4" s="24" t="s">
        <v>122</v>
      </c>
      <c r="E4" s="24" t="s">
        <v>143</v>
      </c>
      <c r="F4" s="22"/>
    </row>
    <row r="5" spans="1:6" x14ac:dyDescent="0.25">
      <c r="A5" s="22"/>
      <c r="B5" s="1">
        <v>74</v>
      </c>
      <c r="C5" s="1">
        <v>1026</v>
      </c>
      <c r="D5" s="25">
        <v>6397.92</v>
      </c>
      <c r="E5" s="25"/>
      <c r="F5" s="22"/>
    </row>
    <row r="6" spans="1:6" x14ac:dyDescent="0.25">
      <c r="A6" s="22"/>
      <c r="B6" s="1">
        <v>86</v>
      </c>
      <c r="C6" s="1">
        <v>6670</v>
      </c>
      <c r="D6" s="26">
        <v>3088.8</v>
      </c>
      <c r="E6" s="26"/>
      <c r="F6" s="22"/>
    </row>
    <row r="7" spans="1:6" x14ac:dyDescent="0.25">
      <c r="A7" s="22"/>
      <c r="B7" s="1">
        <v>136</v>
      </c>
      <c r="C7" s="1">
        <v>5209</v>
      </c>
      <c r="D7" s="26">
        <v>3958.2</v>
      </c>
      <c r="E7" s="26"/>
      <c r="F7" s="22"/>
    </row>
    <row r="8" spans="1:6" x14ac:dyDescent="0.25">
      <c r="A8" s="22"/>
      <c r="B8" s="1">
        <v>140</v>
      </c>
      <c r="C8" s="1">
        <v>6688</v>
      </c>
      <c r="D8" s="26">
        <v>4762.8</v>
      </c>
      <c r="E8" s="26"/>
      <c r="F8" s="22"/>
    </row>
    <row r="9" spans="1:6" x14ac:dyDescent="0.25">
      <c r="A9" s="22"/>
      <c r="B9" s="1">
        <v>149</v>
      </c>
      <c r="C9" s="1">
        <v>3614</v>
      </c>
      <c r="D9" s="26">
        <v>4860</v>
      </c>
      <c r="E9" s="26"/>
      <c r="F9" s="22"/>
    </row>
    <row r="10" spans="1:6" x14ac:dyDescent="0.25">
      <c r="A10" s="22"/>
      <c r="B10" s="1">
        <v>153</v>
      </c>
      <c r="C10" s="1">
        <v>5204</v>
      </c>
      <c r="D10" s="26">
        <v>6480</v>
      </c>
      <c r="E10" s="26"/>
      <c r="F10" s="22"/>
    </row>
    <row r="11" spans="1:6" x14ac:dyDescent="0.25">
      <c r="A11" s="22"/>
      <c r="B11" s="1">
        <v>155</v>
      </c>
      <c r="C11" s="1">
        <v>6958</v>
      </c>
      <c r="D11" s="26">
        <v>2916</v>
      </c>
      <c r="E11" s="26"/>
      <c r="F11" s="22"/>
    </row>
    <row r="12" spans="1:6" x14ac:dyDescent="0.25">
      <c r="A12" s="22"/>
      <c r="B12" s="1">
        <v>171</v>
      </c>
      <c r="C12" s="1">
        <v>5202</v>
      </c>
      <c r="D12" s="26">
        <v>864</v>
      </c>
      <c r="E12" s="26"/>
      <c r="F12" s="22"/>
    </row>
    <row r="13" spans="1:6" x14ac:dyDescent="0.25">
      <c r="A13" s="22"/>
      <c r="B13" s="1">
        <v>234</v>
      </c>
      <c r="C13" s="1">
        <v>5209</v>
      </c>
      <c r="D13" s="26">
        <v>6397.92</v>
      </c>
      <c r="E13" s="26"/>
      <c r="F13" s="22"/>
    </row>
    <row r="14" spans="1:6" x14ac:dyDescent="0.25">
      <c r="A14" s="22"/>
      <c r="B14" s="1">
        <v>266</v>
      </c>
      <c r="C14" s="1">
        <v>6466</v>
      </c>
      <c r="D14" s="26">
        <v>1458</v>
      </c>
      <c r="E14" s="26"/>
      <c r="F14" s="22"/>
    </row>
    <row r="15" spans="1:6" x14ac:dyDescent="0.25">
      <c r="A15" s="22"/>
      <c r="B15" s="14">
        <v>299</v>
      </c>
      <c r="C15" s="14">
        <v>6584</v>
      </c>
      <c r="D15" s="39">
        <v>8640</v>
      </c>
      <c r="E15" s="39" t="s">
        <v>151</v>
      </c>
      <c r="F15" s="40" t="s">
        <v>150</v>
      </c>
    </row>
    <row r="16" spans="1:6" x14ac:dyDescent="0.25">
      <c r="A16" s="22"/>
      <c r="B16" s="14">
        <v>300</v>
      </c>
      <c r="C16" s="14">
        <v>5202</v>
      </c>
      <c r="D16" s="39">
        <v>8640</v>
      </c>
      <c r="E16" s="39" t="s">
        <v>151</v>
      </c>
      <c r="F16" s="40" t="s">
        <v>150</v>
      </c>
    </row>
    <row r="17" spans="1:6" x14ac:dyDescent="0.25">
      <c r="A17" s="22"/>
      <c r="B17" s="1">
        <v>318</v>
      </c>
      <c r="C17" s="1">
        <v>6875</v>
      </c>
      <c r="D17" s="26">
        <v>1080</v>
      </c>
      <c r="E17" s="26"/>
      <c r="F17" s="22"/>
    </row>
    <row r="18" spans="1:6" x14ac:dyDescent="0.25">
      <c r="A18" s="22"/>
      <c r="B18" s="1">
        <v>319</v>
      </c>
      <c r="C18" s="1">
        <v>6490</v>
      </c>
      <c r="D18" s="26">
        <v>540</v>
      </c>
      <c r="E18" s="26"/>
      <c r="F18" s="22"/>
    </row>
    <row r="19" spans="1:6" x14ac:dyDescent="0.25">
      <c r="A19" s="22"/>
      <c r="B19" s="1">
        <v>321</v>
      </c>
      <c r="C19" s="1">
        <v>5202</v>
      </c>
      <c r="D19" s="26">
        <v>6397.92</v>
      </c>
      <c r="E19" s="26"/>
      <c r="F19" s="22"/>
    </row>
    <row r="20" spans="1:6" x14ac:dyDescent="0.25">
      <c r="A20" s="22"/>
      <c r="B20" s="1">
        <v>325</v>
      </c>
      <c r="C20" s="1">
        <v>6875</v>
      </c>
      <c r="D20" s="26">
        <v>9936</v>
      </c>
      <c r="E20" s="26"/>
      <c r="F20" s="22"/>
    </row>
    <row r="21" spans="1:6" x14ac:dyDescent="0.25">
      <c r="A21" s="22"/>
      <c r="B21" s="1">
        <v>335</v>
      </c>
      <c r="C21" s="1">
        <v>5201</v>
      </c>
      <c r="D21" s="26">
        <v>5940</v>
      </c>
      <c r="E21" s="26"/>
      <c r="F21" s="22"/>
    </row>
    <row r="22" spans="1:6" x14ac:dyDescent="0.25">
      <c r="A22" s="22"/>
      <c r="B22" s="1">
        <v>337</v>
      </c>
      <c r="C22" s="1">
        <v>6674</v>
      </c>
      <c r="D22" s="26">
        <v>10584</v>
      </c>
      <c r="E22" s="26"/>
      <c r="F22" s="22"/>
    </row>
    <row r="23" spans="1:6" x14ac:dyDescent="0.25">
      <c r="A23" s="22"/>
      <c r="B23" s="1">
        <v>343</v>
      </c>
      <c r="C23" s="1">
        <v>1029</v>
      </c>
      <c r="D23" s="26">
        <v>1296</v>
      </c>
      <c r="E23" s="26"/>
      <c r="F23" s="22"/>
    </row>
    <row r="24" spans="1:6" x14ac:dyDescent="0.25">
      <c r="A24" s="22"/>
      <c r="B24" s="1">
        <v>360</v>
      </c>
      <c r="C24" s="1">
        <v>5202</v>
      </c>
      <c r="D24" s="26">
        <v>4460.3999999999996</v>
      </c>
      <c r="E24" s="26"/>
      <c r="F24" s="21">
        <f>SUM(D5:D24)</f>
        <v>98697.959999999992</v>
      </c>
    </row>
    <row r="25" spans="1:6" x14ac:dyDescent="0.25">
      <c r="A25" s="22"/>
      <c r="B25" s="24"/>
      <c r="C25" s="24"/>
      <c r="D25" s="24"/>
      <c r="E25" s="24"/>
      <c r="F25" s="22"/>
    </row>
    <row r="26" spans="1:6" x14ac:dyDescent="0.25">
      <c r="A26" s="34" t="s">
        <v>127</v>
      </c>
      <c r="B26" s="34"/>
      <c r="C26" s="34"/>
      <c r="D26" s="34"/>
      <c r="E26" s="34"/>
      <c r="F26" s="34"/>
    </row>
    <row r="27" spans="1:6" x14ac:dyDescent="0.25">
      <c r="A27" s="22"/>
      <c r="B27" s="24"/>
      <c r="C27" s="24"/>
      <c r="D27" s="24"/>
      <c r="E27" s="24"/>
      <c r="F27" s="22"/>
    </row>
    <row r="28" spans="1:6" x14ac:dyDescent="0.25">
      <c r="B28" s="27">
        <v>1</v>
      </c>
      <c r="C28" s="27">
        <v>6674</v>
      </c>
      <c r="D28" s="28">
        <v>12960</v>
      </c>
      <c r="E28" s="28"/>
      <c r="F28" s="20"/>
    </row>
    <row r="29" spans="1:6" x14ac:dyDescent="0.25">
      <c r="B29" s="27">
        <v>2</v>
      </c>
      <c r="C29" s="27">
        <v>5209</v>
      </c>
      <c r="D29" s="28">
        <v>7776</v>
      </c>
      <c r="E29" s="28"/>
      <c r="F29" s="20"/>
    </row>
    <row r="30" spans="1:6" x14ac:dyDescent="0.25">
      <c r="B30" s="27">
        <v>3</v>
      </c>
      <c r="C30" s="27">
        <v>5204</v>
      </c>
      <c r="D30" s="28">
        <v>19008</v>
      </c>
      <c r="E30" s="29" t="s">
        <v>123</v>
      </c>
      <c r="F30" s="20"/>
    </row>
    <row r="31" spans="1:6" x14ac:dyDescent="0.25">
      <c r="B31" s="27">
        <v>4</v>
      </c>
      <c r="C31" s="27">
        <v>6958</v>
      </c>
      <c r="D31" s="28">
        <v>12960</v>
      </c>
      <c r="E31" s="29"/>
      <c r="F31" s="20"/>
    </row>
    <row r="32" spans="1:6" x14ac:dyDescent="0.25">
      <c r="B32" s="27">
        <v>5</v>
      </c>
      <c r="C32" s="27">
        <v>6688</v>
      </c>
      <c r="D32" s="28">
        <v>12960</v>
      </c>
      <c r="E32" s="29" t="s">
        <v>124</v>
      </c>
      <c r="F32" s="20"/>
    </row>
    <row r="33" spans="2:6" x14ac:dyDescent="0.25">
      <c r="B33" s="27">
        <v>6</v>
      </c>
      <c r="C33" s="27">
        <v>6670</v>
      </c>
      <c r="D33" s="28">
        <v>15336</v>
      </c>
      <c r="E33" s="29"/>
      <c r="F33" s="20"/>
    </row>
    <row r="34" spans="2:6" x14ac:dyDescent="0.25">
      <c r="B34" s="27">
        <v>7</v>
      </c>
      <c r="C34" s="27">
        <v>6468</v>
      </c>
      <c r="D34" s="28">
        <v>4428</v>
      </c>
      <c r="E34" s="29" t="s">
        <v>125</v>
      </c>
      <c r="F34" s="20"/>
    </row>
    <row r="35" spans="2:6" x14ac:dyDescent="0.25">
      <c r="B35" s="27">
        <v>8</v>
      </c>
      <c r="C35" s="27">
        <v>6584</v>
      </c>
      <c r="D35" s="28">
        <v>3780</v>
      </c>
      <c r="E35" s="28"/>
      <c r="F35" s="20"/>
    </row>
    <row r="36" spans="2:6" x14ac:dyDescent="0.25">
      <c r="B36" s="27">
        <v>9</v>
      </c>
      <c r="C36" s="27">
        <v>6490</v>
      </c>
      <c r="D36" s="28">
        <v>11880</v>
      </c>
      <c r="E36" s="28"/>
      <c r="F36" s="20"/>
    </row>
    <row r="37" spans="2:6" x14ac:dyDescent="0.25">
      <c r="B37" s="27">
        <v>10</v>
      </c>
      <c r="C37" s="27">
        <v>6687</v>
      </c>
      <c r="D37" s="28">
        <v>12960</v>
      </c>
      <c r="E37" s="28"/>
      <c r="F37" s="20"/>
    </row>
    <row r="38" spans="2:6" x14ac:dyDescent="0.25">
      <c r="B38" s="27">
        <v>11</v>
      </c>
      <c r="C38" s="27">
        <v>6875</v>
      </c>
      <c r="D38" s="28">
        <v>14580</v>
      </c>
      <c r="E38" s="28"/>
      <c r="F38" s="20"/>
    </row>
    <row r="39" spans="2:6" x14ac:dyDescent="0.25">
      <c r="B39" s="27">
        <v>12</v>
      </c>
      <c r="C39" s="27">
        <v>6462</v>
      </c>
      <c r="D39" s="28">
        <v>12960</v>
      </c>
      <c r="E39" s="28"/>
      <c r="F39" s="20"/>
    </row>
    <row r="40" spans="2:6" x14ac:dyDescent="0.25">
      <c r="B40" s="27">
        <v>13</v>
      </c>
      <c r="C40" s="27">
        <v>5220</v>
      </c>
      <c r="D40" s="28">
        <v>12960</v>
      </c>
      <c r="E40" s="28"/>
      <c r="F40" s="20"/>
    </row>
    <row r="41" spans="2:6" x14ac:dyDescent="0.25">
      <c r="B41" s="27">
        <v>14</v>
      </c>
      <c r="C41" s="27">
        <v>6466</v>
      </c>
      <c r="D41" s="28">
        <v>11880</v>
      </c>
      <c r="E41" s="28"/>
      <c r="F41" s="20"/>
    </row>
    <row r="42" spans="2:6" x14ac:dyDescent="0.25">
      <c r="B42" s="27">
        <v>15</v>
      </c>
      <c r="C42" s="27">
        <v>6467</v>
      </c>
      <c r="D42" s="28">
        <v>16200</v>
      </c>
      <c r="E42" s="28"/>
      <c r="F42" s="30">
        <f>SUM(D28:D42)</f>
        <v>182628</v>
      </c>
    </row>
    <row r="43" spans="2:6" x14ac:dyDescent="0.25">
      <c r="B43" s="1">
        <v>19</v>
      </c>
      <c r="C43" s="1">
        <v>6688</v>
      </c>
      <c r="D43" s="25">
        <v>4536</v>
      </c>
      <c r="E43" s="31" t="s">
        <v>130</v>
      </c>
    </row>
    <row r="44" spans="2:6" x14ac:dyDescent="0.25">
      <c r="B44" s="1">
        <v>37</v>
      </c>
      <c r="C44" s="1">
        <v>6462</v>
      </c>
      <c r="D44" s="25">
        <v>10476</v>
      </c>
      <c r="E44" s="31" t="s">
        <v>131</v>
      </c>
    </row>
    <row r="45" spans="2:6" x14ac:dyDescent="0.25">
      <c r="B45" s="1">
        <v>45</v>
      </c>
      <c r="C45" s="1">
        <v>6857</v>
      </c>
      <c r="D45" s="25">
        <v>5616</v>
      </c>
      <c r="E45" s="31" t="s">
        <v>132</v>
      </c>
    </row>
    <row r="46" spans="2:6" x14ac:dyDescent="0.25">
      <c r="B46" s="1">
        <v>46</v>
      </c>
      <c r="C46" s="1">
        <v>5208</v>
      </c>
      <c r="D46" s="25">
        <v>23004</v>
      </c>
      <c r="E46" s="31" t="s">
        <v>133</v>
      </c>
    </row>
    <row r="47" spans="2:6" x14ac:dyDescent="0.25">
      <c r="B47" s="1">
        <v>51</v>
      </c>
      <c r="C47" s="1">
        <v>6490</v>
      </c>
      <c r="D47" s="25">
        <v>648</v>
      </c>
      <c r="E47" s="31" t="s">
        <v>134</v>
      </c>
    </row>
    <row r="48" spans="2:6" x14ac:dyDescent="0.25">
      <c r="B48" s="1">
        <v>64</v>
      </c>
      <c r="C48" s="1">
        <v>6674</v>
      </c>
      <c r="D48" s="25">
        <v>2700</v>
      </c>
      <c r="E48" s="31" t="s">
        <v>135</v>
      </c>
    </row>
    <row r="49" spans="2:5" x14ac:dyDescent="0.25">
      <c r="B49" s="1">
        <v>72</v>
      </c>
      <c r="C49" s="1">
        <v>6466</v>
      </c>
      <c r="D49" s="25">
        <v>583.20000000000005</v>
      </c>
      <c r="E49" s="31" t="s">
        <v>130</v>
      </c>
    </row>
    <row r="50" spans="2:5" x14ac:dyDescent="0.25">
      <c r="B50" s="1">
        <v>73</v>
      </c>
      <c r="C50" s="1">
        <v>6584</v>
      </c>
      <c r="D50" s="25">
        <v>3456</v>
      </c>
      <c r="E50" s="31" t="s">
        <v>136</v>
      </c>
    </row>
    <row r="51" spans="2:5" x14ac:dyDescent="0.25">
      <c r="B51" s="1">
        <v>74</v>
      </c>
      <c r="C51" s="1">
        <v>3720</v>
      </c>
      <c r="D51" s="25">
        <v>6397</v>
      </c>
      <c r="E51" s="31" t="s">
        <v>137</v>
      </c>
    </row>
    <row r="52" spans="2:5" x14ac:dyDescent="0.25">
      <c r="B52" s="1">
        <v>77</v>
      </c>
      <c r="C52" s="1">
        <v>5208</v>
      </c>
      <c r="D52" s="25">
        <v>648</v>
      </c>
      <c r="E52" s="31" t="s">
        <v>138</v>
      </c>
    </row>
    <row r="53" spans="2:5" x14ac:dyDescent="0.25">
      <c r="B53" s="1">
        <v>80</v>
      </c>
      <c r="C53" s="1">
        <v>6466</v>
      </c>
      <c r="D53" s="25">
        <v>648</v>
      </c>
      <c r="E53" s="31" t="s">
        <v>139</v>
      </c>
    </row>
    <row r="54" spans="2:5" x14ac:dyDescent="0.25">
      <c r="B54" s="1">
        <v>81</v>
      </c>
      <c r="C54" s="1">
        <v>6466</v>
      </c>
      <c r="D54" s="25">
        <v>1652.4</v>
      </c>
      <c r="E54" s="31" t="s">
        <v>130</v>
      </c>
    </row>
    <row r="55" spans="2:5" x14ac:dyDescent="0.25">
      <c r="B55" s="1">
        <v>82</v>
      </c>
      <c r="C55" s="1">
        <v>3720</v>
      </c>
      <c r="D55" s="25">
        <v>1080</v>
      </c>
      <c r="E55" s="31" t="s">
        <v>140</v>
      </c>
    </row>
    <row r="56" spans="2:5" x14ac:dyDescent="0.25">
      <c r="B56" s="1">
        <v>83</v>
      </c>
      <c r="C56" s="1">
        <v>6584</v>
      </c>
      <c r="D56" s="25">
        <v>583.20000000000005</v>
      </c>
      <c r="E56" s="31" t="s">
        <v>130</v>
      </c>
    </row>
    <row r="57" spans="2:5" x14ac:dyDescent="0.25">
      <c r="B57" s="1">
        <v>84</v>
      </c>
      <c r="C57" s="1">
        <v>6570</v>
      </c>
      <c r="D57" s="25">
        <v>2484</v>
      </c>
      <c r="E57" s="31" t="s">
        <v>141</v>
      </c>
    </row>
    <row r="58" spans="2:5" x14ac:dyDescent="0.25">
      <c r="B58" s="1">
        <v>86</v>
      </c>
      <c r="C58" s="1">
        <v>6452</v>
      </c>
      <c r="D58" s="19">
        <v>10476</v>
      </c>
      <c r="E58" s="32" t="s">
        <v>131</v>
      </c>
    </row>
    <row r="59" spans="2:5" x14ac:dyDescent="0.25">
      <c r="B59" s="1">
        <v>88</v>
      </c>
      <c r="C59" s="1">
        <v>6687</v>
      </c>
      <c r="D59" s="19">
        <v>6397.92</v>
      </c>
      <c r="E59" s="32" t="s">
        <v>137</v>
      </c>
    </row>
    <row r="60" spans="2:5" x14ac:dyDescent="0.25">
      <c r="B60" s="1">
        <v>89</v>
      </c>
      <c r="C60" s="1">
        <v>5220</v>
      </c>
      <c r="D60" s="25">
        <v>6397.92</v>
      </c>
      <c r="E60" s="32" t="s">
        <v>137</v>
      </c>
    </row>
    <row r="61" spans="2:5" x14ac:dyDescent="0.25">
      <c r="B61" s="1">
        <v>90</v>
      </c>
      <c r="C61" s="1">
        <v>6688</v>
      </c>
      <c r="D61" s="25">
        <v>6397.92</v>
      </c>
      <c r="E61" s="33" t="s">
        <v>137</v>
      </c>
    </row>
    <row r="62" spans="2:5" x14ac:dyDescent="0.25">
      <c r="B62" s="1">
        <v>91</v>
      </c>
      <c r="C62" s="1">
        <v>5201</v>
      </c>
      <c r="D62" s="25">
        <v>4536</v>
      </c>
      <c r="E62" s="33" t="s">
        <v>142</v>
      </c>
    </row>
    <row r="63" spans="2:5" x14ac:dyDescent="0.25">
      <c r="B63" s="1">
        <v>92</v>
      </c>
      <c r="C63" s="1">
        <v>6958</v>
      </c>
      <c r="D63" s="25">
        <v>6397.92</v>
      </c>
      <c r="E63" s="33" t="s">
        <v>137</v>
      </c>
    </row>
    <row r="64" spans="2:5" x14ac:dyDescent="0.25">
      <c r="B64" s="1">
        <v>93</v>
      </c>
      <c r="C64" s="1">
        <v>6688</v>
      </c>
      <c r="D64" s="25">
        <v>5292</v>
      </c>
      <c r="E64" s="33" t="s">
        <v>130</v>
      </c>
    </row>
    <row r="65" spans="2:6" x14ac:dyDescent="0.25">
      <c r="B65" s="1">
        <v>94</v>
      </c>
      <c r="C65" s="1">
        <v>6462</v>
      </c>
      <c r="D65" s="25">
        <v>10476</v>
      </c>
      <c r="E65" s="33" t="s">
        <v>131</v>
      </c>
    </row>
    <row r="66" spans="2:6" x14ac:dyDescent="0.25">
      <c r="B66" s="1">
        <v>95</v>
      </c>
      <c r="C66" s="1">
        <v>6462</v>
      </c>
      <c r="D66" s="25">
        <v>6397.92</v>
      </c>
      <c r="E66" s="33" t="s">
        <v>137</v>
      </c>
      <c r="F66" s="21">
        <f>SUM(D43:D66)</f>
        <v>127281.39999999998</v>
      </c>
    </row>
    <row r="67" spans="2:6" x14ac:dyDescent="0.25">
      <c r="B67" s="1"/>
      <c r="C67" s="1"/>
      <c r="E67" s="33"/>
    </row>
    <row r="68" spans="2:6" x14ac:dyDescent="0.25">
      <c r="B68" s="1"/>
      <c r="C68" s="1"/>
      <c r="E68" s="33"/>
      <c r="F68" s="19">
        <f>+F24+F42+F66</f>
        <v>408607.35999999993</v>
      </c>
    </row>
    <row r="69" spans="2:6" x14ac:dyDescent="0.25">
      <c r="B69" s="1"/>
      <c r="C69" s="1"/>
    </row>
    <row r="70" spans="2:6" x14ac:dyDescent="0.25">
      <c r="B70" s="1"/>
      <c r="C70" s="1"/>
    </row>
    <row r="71" spans="2:6" x14ac:dyDescent="0.25">
      <c r="B71" s="1"/>
      <c r="C71" s="1"/>
    </row>
    <row r="72" spans="2:6" x14ac:dyDescent="0.25">
      <c r="B72" s="1"/>
      <c r="C72" s="1"/>
    </row>
    <row r="73" spans="2:6" x14ac:dyDescent="0.25">
      <c r="B73" s="1"/>
      <c r="C73" s="1"/>
    </row>
    <row r="74" spans="2:6" x14ac:dyDescent="0.25">
      <c r="B74" s="1"/>
      <c r="C74" s="1"/>
    </row>
    <row r="75" spans="2:6" x14ac:dyDescent="0.25">
      <c r="B75" s="1"/>
      <c r="C75" s="1"/>
    </row>
  </sheetData>
  <mergeCells count="2">
    <mergeCell ref="A2:F2"/>
    <mergeCell ref="A26:F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BCCD-E53F-46BB-A848-B99FFB382081}">
  <dimension ref="A1"/>
  <sheetViews>
    <sheetView workbookViewId="0">
      <selection activeCell="A2" sqref="A2:F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OC FACTURADO</vt:lpstr>
      <vt:lpstr>PTE OC 25-26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LUIS OROZCO GARCIA</cp:lastModifiedBy>
  <cp:revision/>
  <cp:lastPrinted>2026-03-27T15:52:32Z</cp:lastPrinted>
  <dcterms:created xsi:type="dcterms:W3CDTF">2026-03-10T03:16:43Z</dcterms:created>
  <dcterms:modified xsi:type="dcterms:W3CDTF">2026-03-28T16:36:04Z</dcterms:modified>
  <cp:category/>
  <cp:contentStatus/>
</cp:coreProperties>
</file>